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Top\Downloads\"/>
    </mc:Choice>
  </mc:AlternateContent>
  <xr:revisionPtr revIDLastSave="0" documentId="13_ncr:1_{1DBCBE76-E71B-4562-A602-45637D81629E}" xr6:coauthVersionLast="47" xr6:coauthVersionMax="47" xr10:uidLastSave="{00000000-0000-0000-0000-000000000000}"/>
  <bookViews>
    <workbookView xWindow="-110" yWindow="-110" windowWidth="19420" windowHeight="10300" activeTab="1" xr2:uid="{4FDF45FB-1CFF-4C45-826A-662E4B25C150}"/>
  </bookViews>
  <sheets>
    <sheet name="Scenario Summary" sheetId="2" r:id="rId1"/>
    <sheet name="Analysis" sheetId="1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PurchasePrice" comment="The purchase price of the property.">Analysis!$F$2</definedName>
    <definedName name="RentGrowth" comment="The annual rate at which rental income will increase.">Analysis!$B$10</definedName>
    <definedName name="Units" comment="The number of units the property has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 s="1"/>
  <c r="C69" i="1"/>
  <c r="A72" i="1"/>
  <c r="A73" i="1"/>
  <c r="A74" i="1" s="1"/>
  <c r="A71" i="1"/>
  <c r="E15" i="2"/>
  <c r="A60" i="1"/>
  <c r="A61" i="1"/>
  <c r="A62" i="1" s="1"/>
  <c r="A59" i="1"/>
  <c r="E49" i="1" l="1"/>
  <c r="E36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H19" i="1" s="1"/>
  <c r="F18" i="1"/>
  <c r="D44" i="1"/>
  <c r="B51" i="1"/>
  <c r="B44" i="1"/>
  <c r="B28" i="1"/>
  <c r="B46" i="1" s="1"/>
  <c r="F2" i="1" s="1"/>
  <c r="D21" i="1"/>
  <c r="D28" i="1" s="1"/>
  <c r="G18" i="1" l="1"/>
  <c r="D48" i="1"/>
  <c r="I19" i="1"/>
  <c r="J19" i="1" s="1"/>
  <c r="K19" i="1" s="1"/>
  <c r="L19" i="1" s="1"/>
  <c r="M19" i="1" s="1"/>
  <c r="N19" i="1" s="1"/>
  <c r="N18" i="1" s="1"/>
  <c r="H1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E39" i="1" l="1"/>
  <c r="E48" i="1"/>
  <c r="E51" i="1" s="1"/>
  <c r="D51" i="1"/>
  <c r="D53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I18" i="1"/>
  <c r="F16" i="1"/>
  <c r="F39" i="1" l="1"/>
  <c r="F48" i="1"/>
  <c r="F51" i="1" s="1"/>
  <c r="J18" i="1"/>
  <c r="G16" i="1"/>
  <c r="F36" i="1"/>
  <c r="E21" i="1"/>
  <c r="G39" i="1" l="1"/>
  <c r="G48" i="1"/>
  <c r="G51" i="1" s="1"/>
  <c r="G40" i="1"/>
  <c r="K18" i="1"/>
  <c r="E33" i="1"/>
  <c r="E30" i="1"/>
  <c r="H16" i="1"/>
  <c r="G36" i="1"/>
  <c r="F40" i="1"/>
  <c r="E40" i="1"/>
  <c r="E25" i="1"/>
  <c r="E28" i="1" s="1"/>
  <c r="H39" i="1" l="1"/>
  <c r="H48" i="1"/>
  <c r="H51" i="1" s="1"/>
  <c r="L18" i="1"/>
  <c r="E44" i="1"/>
  <c r="E46" i="1" s="1"/>
  <c r="E53" i="1" s="1"/>
  <c r="I16" i="1"/>
  <c r="I39" i="1" s="1"/>
  <c r="H36" i="1"/>
  <c r="H40" i="1"/>
  <c r="F21" i="1"/>
  <c r="M18" i="1" l="1"/>
  <c r="F33" i="1"/>
  <c r="J16" i="1"/>
  <c r="I36" i="1"/>
  <c r="I40" i="1"/>
  <c r="F30" i="1"/>
  <c r="G21" i="1"/>
  <c r="F25" i="1"/>
  <c r="F28" i="1" s="1"/>
  <c r="J39" i="1" l="1"/>
  <c r="J48" i="1"/>
  <c r="J51" i="1" s="1"/>
  <c r="F44" i="1"/>
  <c r="F46" i="1" s="1"/>
  <c r="F53" i="1" s="1"/>
  <c r="G25" i="1"/>
  <c r="G28" i="1" s="1"/>
  <c r="K16" i="1"/>
  <c r="J36" i="1"/>
  <c r="J40" i="1"/>
  <c r="G30" i="1"/>
  <c r="G33" i="1"/>
  <c r="H21" i="1"/>
  <c r="K39" i="1" l="1"/>
  <c r="K48" i="1"/>
  <c r="K51" i="1" s="1"/>
  <c r="K40" i="1"/>
  <c r="H25" i="1"/>
  <c r="H28" i="1" s="1"/>
  <c r="G44" i="1"/>
  <c r="G46" i="1" s="1"/>
  <c r="G53" i="1" s="1"/>
  <c r="H30" i="1"/>
  <c r="L16" i="1"/>
  <c r="K36" i="1"/>
  <c r="I21" i="1"/>
  <c r="H33" i="1"/>
  <c r="L39" i="1" l="1"/>
  <c r="L48" i="1"/>
  <c r="L51" i="1" s="1"/>
  <c r="I25" i="1"/>
  <c r="I28" i="1" s="1"/>
  <c r="H44" i="1"/>
  <c r="H46" i="1" s="1"/>
  <c r="H53" i="1" s="1"/>
  <c r="M16" i="1"/>
  <c r="L36" i="1"/>
  <c r="L40" i="1"/>
  <c r="I30" i="1"/>
  <c r="I33" i="1"/>
  <c r="J21" i="1"/>
  <c r="M39" i="1" l="1"/>
  <c r="M48" i="1"/>
  <c r="M51" i="1" s="1"/>
  <c r="J25" i="1"/>
  <c r="J28" i="1" s="1"/>
  <c r="I44" i="1"/>
  <c r="I46" i="1" s="1"/>
  <c r="J33" i="1"/>
  <c r="N16" i="1"/>
  <c r="N39" i="1" s="1"/>
  <c r="M36" i="1"/>
  <c r="M40" i="1"/>
  <c r="J30" i="1"/>
  <c r="K21" i="1"/>
  <c r="J44" i="1" l="1"/>
  <c r="J46" i="1" s="1"/>
  <c r="J53" i="1" s="1"/>
  <c r="K25" i="1"/>
  <c r="K28" i="1" s="1"/>
  <c r="K33" i="1"/>
  <c r="K30" i="1"/>
  <c r="N36" i="1"/>
  <c r="N40" i="1"/>
  <c r="L21" i="1"/>
  <c r="K44" i="1" l="1"/>
  <c r="K46" i="1" s="1"/>
  <c r="K53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L53" i="1" s="1"/>
  <c r="M33" i="1"/>
  <c r="N30" i="1"/>
  <c r="M30" i="1"/>
  <c r="N33" i="1"/>
  <c r="M44" i="1" l="1"/>
  <c r="M46" i="1" s="1"/>
  <c r="M53" i="1" s="1"/>
  <c r="N44" i="1"/>
  <c r="N46" i="1" s="1"/>
  <c r="A69" i="1" s="1"/>
  <c r="F8" i="1" l="1"/>
  <c r="N48" i="1" s="1"/>
  <c r="N51" i="1" s="1"/>
  <c r="N53" i="1" s="1"/>
  <c r="B57" i="1"/>
  <c r="I48" i="1"/>
  <c r="I51" i="1" s="1"/>
  <c r="I53" i="1" s="1"/>
</calcChain>
</file>

<file path=xl/sharedStrings.xml><?xml version="1.0" encoding="utf-8"?>
<sst xmlns="http://schemas.openxmlformats.org/spreadsheetml/2006/main" count="66" uniqueCount="64">
  <si>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</si>
  <si>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</si>
  <si>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</si>
  <si>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</si>
  <si>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</si>
  <si>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</si>
  <si>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</si>
  <si>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</si>
  <si>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</si>
  <si>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</si>
  <si>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</si>
  <si>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</si>
  <si>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</si>
  <si>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</si>
  <si>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</si>
  <si>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</si>
  <si>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</si>
  <si>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</si>
  <si>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</si>
  <si>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</si>
  <si>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</si>
  <si>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</si>
  <si>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</si>
  <si>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</si>
  <si>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</si>
  <si>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</si>
  <si>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</si>
  <si>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</si>
  <si>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</si>
  <si>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</si>
  <si>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</si>
  <si>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</si>
  <si>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</si>
  <si>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</si>
  <si>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</si>
  <si>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</si>
  <si>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</si>
  <si>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</si>
  <si>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</si>
  <si>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</si>
  <si>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</si>
  <si>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</si>
  <si>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</si>
  <si>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</si>
  <si>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</si>
  <si>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RentGrowth</t>
  </si>
  <si>
    <t>$F$19</t>
  </si>
  <si>
    <t>$N$46</t>
  </si>
  <si>
    <t>Expected_Rent</t>
  </si>
  <si>
    <t>Created by Mr.Top on 10/3/2026
Modified by Mr.Top on 10/3/2026</t>
  </si>
  <si>
    <t>High_Rent</t>
  </si>
  <si>
    <t>Created by Mr.Top on 10/3/2026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</si>
  <si>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</si>
  <si>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</si>
  <si>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</si>
  <si>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</si>
  <si>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</si>
  <si>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</si>
  <si>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</si>
  <si>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Different between two scenarios outcome</t>
  </si>
  <si>
    <t>Rent Growth Assumption</t>
  </si>
  <si>
    <t>Net operating income</t>
  </si>
  <si>
    <r>
      <t xml:space="preserve">Using </t>
    </r>
    <r>
      <rPr>
        <b/>
        <sz val="11"/>
        <color rgb="FFFF0000"/>
        <rFont val="Calibri"/>
        <family val="2"/>
        <scheme val="minor"/>
      </rPr>
      <t xml:space="preserve">Sensitivity Analysis </t>
    </r>
    <r>
      <rPr>
        <sz val="11"/>
        <rFont val="Calibri"/>
        <family val="2"/>
        <scheme val="minor"/>
      </rPr>
      <t xml:space="preserve">to know the impact of </t>
    </r>
    <r>
      <rPr>
        <sz val="11"/>
        <color rgb="FFFF0000"/>
        <rFont val="Calibri"/>
        <family val="2"/>
        <scheme val="minor"/>
      </rPr>
      <t>Rent Growth %</t>
    </r>
    <r>
      <rPr>
        <sz val="11"/>
        <rFont val="Calibri"/>
        <family val="2"/>
        <scheme val="minor"/>
      </rPr>
      <t xml:space="preserve"> and </t>
    </r>
    <r>
      <rPr>
        <sz val="11"/>
        <color rgb="FFFF0000"/>
        <rFont val="Calibri"/>
        <family val="2"/>
        <scheme val="minor"/>
      </rPr>
      <t>Monthly Rent</t>
    </r>
    <r>
      <rPr>
        <sz val="11"/>
        <rFont val="Calibri"/>
        <family val="2"/>
        <scheme val="minor"/>
      </rPr>
      <t xml:space="preserve">  on </t>
    </r>
    <r>
      <rPr>
        <b/>
        <sz val="11"/>
        <color rgb="FF00B050"/>
        <rFont val="Calibri"/>
        <family val="2"/>
        <scheme val="minor"/>
      </rPr>
      <t xml:space="preserve">Net Operating Income </t>
    </r>
  </si>
  <si>
    <r>
      <t>Using</t>
    </r>
    <r>
      <rPr>
        <b/>
        <sz val="11"/>
        <color rgb="FFFF0000"/>
        <rFont val="Calibri"/>
        <family val="2"/>
        <scheme val="minor"/>
      </rPr>
      <t xml:space="preserve"> Sensitivity Analysis</t>
    </r>
    <r>
      <rPr>
        <sz val="11"/>
        <color theme="1"/>
        <rFont val="Calibri"/>
        <family val="2"/>
        <scheme val="minor"/>
      </rPr>
      <t xml:space="preserve"> to know the impact of</t>
    </r>
    <r>
      <rPr>
        <b/>
        <sz val="11"/>
        <color rgb="FFFF0000"/>
        <rFont val="Calibri"/>
        <family val="2"/>
        <scheme val="minor"/>
      </rPr>
      <t xml:space="preserve"> Rent Growth</t>
    </r>
    <r>
      <rPr>
        <sz val="11"/>
        <color theme="1"/>
        <rFont val="Calibri"/>
        <family val="2"/>
        <scheme val="minor"/>
      </rPr>
      <t xml:space="preserve"> %  on </t>
    </r>
    <r>
      <rPr>
        <b/>
        <sz val="11"/>
        <color rgb="FF00B050"/>
        <rFont val="Calibri"/>
        <family val="2"/>
        <scheme val="minor"/>
      </rPr>
      <t>Net Operating Income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</si>
</sst>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  <numFmt numFmtId="168" formatCode="0.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5" fillId="3" borderId="0" xfId="0" applyFont="1" applyFill="1" applyAlignment="1">
      <alignment horizontal="centerContinuous"/>
    </xf>
    <xf numFmtId="0" fontId="6" fillId="0" borderId="0" xfId="0" applyFont="1"/>
    <xf numFmtId="0" fontId="5" fillId="3" borderId="0" xfId="0" applyFont="1" applyFill="1"/>
    <xf numFmtId="0" fontId="4" fillId="3" borderId="0" xfId="0" applyFont="1" applyFill="1"/>
    <xf numFmtId="43" fontId="4" fillId="0" borderId="0" xfId="1" applyFont="1"/>
    <xf numFmtId="3" fontId="0" fillId="0" borderId="0" xfId="0" applyNumberFormat="1"/>
    <xf numFmtId="43" fontId="0" fillId="0" borderId="0" xfId="1" applyFont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165" fontId="0" fillId="0" borderId="0" xfId="0" applyNumberFormat="1" applyFill="1" applyBorder="1" applyAlignment="1"/>
    <xf numFmtId="0" fontId="10" fillId="4" borderId="1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0" fillId="0" borderId="4" xfId="0" applyFill="1" applyBorder="1" applyAlignment="1"/>
    <xf numFmtId="0" fontId="11" fillId="5" borderId="0" xfId="0" applyFont="1" applyFill="1" applyBorder="1" applyAlignment="1">
      <alignment horizontal="left"/>
    </xf>
    <xf numFmtId="0" fontId="12" fillId="5" borderId="4" xfId="0" applyFont="1" applyFill="1" applyBorder="1" applyAlignment="1">
      <alignment horizontal="left"/>
    </xf>
    <xf numFmtId="0" fontId="11" fillId="5" borderId="3" xfId="0" applyFont="1" applyFill="1" applyBorder="1" applyAlignment="1">
      <alignment horizontal="left"/>
    </xf>
    <xf numFmtId="0" fontId="13" fillId="4" borderId="2" xfId="0" applyFont="1" applyFill="1" applyBorder="1" applyAlignment="1">
      <alignment horizontal="right"/>
    </xf>
    <xf numFmtId="0" fontId="13" fillId="4" borderId="1" xfId="0" applyFont="1" applyFill="1" applyBorder="1" applyAlignment="1">
      <alignment horizontal="right"/>
    </xf>
    <xf numFmtId="10" fontId="0" fillId="6" borderId="0" xfId="0" applyNumberFormat="1" applyFill="1" applyBorder="1" applyAlignment="1"/>
    <xf numFmtId="165" fontId="0" fillId="6" borderId="0" xfId="0" applyNumberFormat="1" applyFill="1" applyBorder="1" applyAlignment="1"/>
    <xf numFmtId="0" fontId="14" fillId="0" borderId="0" xfId="0" applyFont="1" applyFill="1" applyBorder="1" applyAlignment="1">
      <alignment vertical="top" wrapText="1"/>
    </xf>
    <xf numFmtId="43" fontId="0" fillId="0" borderId="3" xfId="1" applyFont="1" applyFill="1" applyBorder="1" applyAlignment="1"/>
    <xf numFmtId="0" fontId="2" fillId="0" borderId="0" xfId="0" applyFont="1"/>
    <xf numFmtId="10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4" fillId="0" borderId="0" xfId="0" applyFont="1" applyAlignment="1">
      <alignment horizontal="center"/>
    </xf>
    <xf numFmtId="168" fontId="0" fillId="0" borderId="0" xfId="0" applyNumberFormat="1"/>
    <xf numFmtId="1" fontId="4" fillId="0" borderId="0" xfId="0" applyNumberFormat="1" applyFont="1"/>
    <xf numFmtId="0" fontId="5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350420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F02A6-8BDE-46CA-BE64-E549D5B9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BE30-419B-406E-A86E-B8CB701225DD}">
  <sheetPr>
    <outlinePr summaryBelow="0"/>
  </sheetPr>
  <dimension ref="B1:F15"/>
  <sheetViews>
    <sheetView showGridLines="0" topLeftCell="B1" workbookViewId="0">
      <selection activeCell="F16" sqref="F16"/>
    </sheetView>
  </sheetViews>
  <sheetFormatPr defaultRowHeight="14.5" outlineLevelRow="1" outlineLevelCol="1" x14ac:dyDescent="0.35"/>
  <cols>
    <col min="3" max="3" width="11.08984375" bestFit="1" customWidth="1"/>
    <col min="4" max="6" width="12.54296875" bestFit="1" customWidth="1" outlineLevel="1"/>
  </cols>
  <sheetData>
    <row r="1" spans="2:6" ht="15" thickBot="1" x14ac:dyDescent="0.4"/>
    <row r="2" spans="2:6" ht="15.5" x14ac:dyDescent="0.35">
      <c r="B2" s="45" t="s">
        <v>52</v>
      </c>
      <c r="C2" s="45"/>
      <c r="D2" s="50"/>
      <c r="E2" s="50"/>
      <c r="F2" s="50"/>
    </row>
    <row r="3" spans="2:6" ht="15.5" collapsed="1" x14ac:dyDescent="0.35">
      <c r="B3" s="44"/>
      <c r="C3" s="44"/>
      <c r="D3" s="51" t="s">
        <v>54</v>
      </c>
      <c r="E3" s="51" t="s">
        <v>48</v>
      </c>
      <c r="F3" s="51" t="s">
        <v>50</v>
      </c>
    </row>
    <row r="4" spans="2:6" ht="42" hidden="1" outlineLevel="1" x14ac:dyDescent="0.35">
      <c r="B4" s="47"/>
      <c r="C4" s="47"/>
      <c r="D4" s="41"/>
      <c r="E4" s="54" t="s">
        <v>49</v>
      </c>
      <c r="F4" s="54" t="s">
        <v>51</v>
      </c>
    </row>
    <row r="5" spans="2:6" x14ac:dyDescent="0.35">
      <c r="B5" s="48" t="s">
        <v>53</v>
      </c>
      <c r="C5" s="48"/>
      <c r="D5" s="46"/>
      <c r="E5" s="46"/>
      <c r="F5" s="46"/>
    </row>
    <row r="6" spans="2:6" outlineLevel="1" x14ac:dyDescent="0.35">
      <c r="B6" s="47"/>
      <c r="C6" s="47" t="s">
        <v>45</v>
      </c>
      <c r="D6" s="42">
        <v>0.05</v>
      </c>
      <c r="E6" s="52">
        <v>0.05</v>
      </c>
      <c r="F6" s="52">
        <v>0.08</v>
      </c>
    </row>
    <row r="7" spans="2:6" outlineLevel="1" x14ac:dyDescent="0.35">
      <c r="B7" s="47"/>
      <c r="C7" s="47" t="s">
        <v>46</v>
      </c>
      <c r="D7" s="43">
        <v>2300</v>
      </c>
      <c r="E7" s="53">
        <v>2300</v>
      </c>
      <c r="F7" s="53">
        <v>2500</v>
      </c>
    </row>
    <row r="8" spans="2:6" x14ac:dyDescent="0.35">
      <c r="B8" s="48" t="s">
        <v>55</v>
      </c>
      <c r="C8" s="48"/>
      <c r="D8" s="46"/>
      <c r="E8" s="46"/>
      <c r="F8" s="46"/>
    </row>
    <row r="9" spans="2:6" ht="15" outlineLevel="1" thickBot="1" x14ac:dyDescent="0.4">
      <c r="B9" s="49"/>
      <c r="C9" s="49" t="s">
        <v>47</v>
      </c>
      <c r="D9" s="55">
        <v>2954983.1196065401</v>
      </c>
      <c r="E9" s="55">
        <v>2954983.1196065401</v>
      </c>
      <c r="F9" s="55">
        <v>4210514.7010233803</v>
      </c>
    </row>
    <row r="10" spans="2:6" x14ac:dyDescent="0.35">
      <c r="B10" t="s">
        <v>56</v>
      </c>
    </row>
    <row r="11" spans="2:6" x14ac:dyDescent="0.35">
      <c r="B11" t="s">
        <v>57</v>
      </c>
    </row>
    <row r="12" spans="2:6" x14ac:dyDescent="0.35">
      <c r="B12" t="s">
        <v>58</v>
      </c>
    </row>
    <row r="14" spans="2:6" x14ac:dyDescent="0.35">
      <c r="E14" s="56" t="s">
        <v>59</v>
      </c>
    </row>
    <row r="15" spans="2:6" x14ac:dyDescent="0.35">
      <c r="E15" s="9">
        <f>F9-E9</f>
        <v>1255531.5814168402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76"/>
  <sheetViews>
    <sheetView showGridLines="0" tabSelected="1" topLeftCell="A53" zoomScale="96" zoomScaleNormal="96" workbookViewId="0">
      <selection activeCell="D60" sqref="D60"/>
    </sheetView>
  </sheetViews>
  <sheetFormatPr defaultRowHeight="14.5" x14ac:dyDescent="0.35"/>
  <cols>
    <col min="1" max="1" width="29.453125" customWidth="1"/>
    <col min="2" max="2" width="16.7265625" style="12" bestFit="1" customWidth="1"/>
    <col min="3" max="3" width="14.7265625" customWidth="1"/>
    <col min="4" max="4" width="13.26953125" bestFit="1" customWidth="1"/>
    <col min="5" max="5" width="11.26953125" bestFit="1" customWidth="1"/>
    <col min="6" max="6" width="14.81640625" bestFit="1" customWidth="1"/>
    <col min="7" max="7" width="13.6328125" bestFit="1" customWidth="1"/>
    <col min="8" max="8" width="12.1796875" customWidth="1"/>
    <col min="9" max="9" width="13.6328125" bestFit="1" customWidth="1"/>
    <col min="10" max="10" width="10.54296875" bestFit="1" customWidth="1"/>
    <col min="11" max="11" width="11.54296875" bestFit="1" customWidth="1"/>
    <col min="12" max="12" width="10.54296875" bestFit="1" customWidth="1"/>
    <col min="13" max="14" width="13.6328125" bestFit="1" customWidth="1"/>
  </cols>
  <sheetData>
    <row r="1" spans="1:14" x14ac:dyDescent="0.35">
      <c r="A1" s="34" t="s">
        <v>18</v>
      </c>
      <c r="B1" s="34"/>
      <c r="D1" s="34" t="s">
        <v>25</v>
      </c>
      <c r="E1" s="34"/>
      <c r="F1" s="34"/>
    </row>
    <row r="2" spans="1:14" x14ac:dyDescent="0.35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3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35">
      <c r="A4" t="s">
        <v>1</v>
      </c>
      <c r="B4" s="10">
        <v>1994</v>
      </c>
    </row>
    <row r="5" spans="1:14" x14ac:dyDescent="0.35">
      <c r="A5" s="4" t="s">
        <v>22</v>
      </c>
      <c r="B5" s="11" t="s">
        <v>23</v>
      </c>
      <c r="D5" s="34" t="s">
        <v>28</v>
      </c>
      <c r="E5" s="34"/>
      <c r="F5" s="34"/>
      <c r="J5" s="7"/>
    </row>
    <row r="6" spans="1:14" x14ac:dyDescent="0.35">
      <c r="A6" t="s">
        <v>41</v>
      </c>
      <c r="B6" s="10" t="s">
        <v>42</v>
      </c>
      <c r="D6" t="s">
        <v>40</v>
      </c>
      <c r="F6" s="35">
        <v>10</v>
      </c>
      <c r="J6" s="27"/>
    </row>
    <row r="7" spans="1:14" x14ac:dyDescent="0.35">
      <c r="D7" s="4" t="s">
        <v>39</v>
      </c>
      <c r="E7" s="4"/>
      <c r="F7" s="28">
        <v>4.9999999999959945E-2</v>
      </c>
      <c r="J7" s="31"/>
    </row>
    <row r="8" spans="1:14" x14ac:dyDescent="0.35">
      <c r="A8" s="34" t="s">
        <v>36</v>
      </c>
      <c r="B8" s="34"/>
      <c r="D8" t="s">
        <v>29</v>
      </c>
      <c r="F8" s="40">
        <f>HLOOKUP(F6,D16:N48,31,FALSE)/F7</f>
        <v>59099662.392178126</v>
      </c>
    </row>
    <row r="9" spans="1:14" x14ac:dyDescent="0.35">
      <c r="A9" s="25" t="s">
        <v>38</v>
      </c>
      <c r="B9" s="8">
        <v>0.02</v>
      </c>
    </row>
    <row r="10" spans="1:14" x14ac:dyDescent="0.35">
      <c r="A10" s="4" t="s">
        <v>37</v>
      </c>
      <c r="B10" s="28">
        <v>0.05</v>
      </c>
    </row>
    <row r="14" spans="1:14" x14ac:dyDescent="0.35">
      <c r="A14" s="36" t="s">
        <v>32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1:14" x14ac:dyDescent="0.35">
      <c r="D15" s="1"/>
      <c r="E15" s="1"/>
      <c r="F15" s="1"/>
    </row>
    <row r="16" spans="1:14" x14ac:dyDescent="0.35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35">
      <c r="B17" s="14"/>
      <c r="G17" s="1"/>
      <c r="H17" s="1"/>
      <c r="I17" s="1"/>
      <c r="J17" s="1"/>
    </row>
    <row r="18" spans="1:15" x14ac:dyDescent="0.3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F19*Units*12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35"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35">
      <c r="A20" s="24" t="s">
        <v>2</v>
      </c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3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3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35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3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3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3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3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3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3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3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3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3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3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3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35">
      <c r="A36" t="s">
        <v>6</v>
      </c>
      <c r="B36" s="19">
        <v>-7304</v>
      </c>
      <c r="D36" s="19">
        <v>0</v>
      </c>
      <c r="E36" s="19">
        <f t="shared" ref="E36:N36" si="9">(Units-E22)*E37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3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3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35">
      <c r="A39" t="s">
        <v>34</v>
      </c>
      <c r="B39" s="19">
        <v>-212582</v>
      </c>
      <c r="D39" s="19">
        <v>0</v>
      </c>
      <c r="E39" s="19">
        <f t="shared" ref="E39:N39" si="11">$B$39*(1+CostGrowth^E16)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35">
      <c r="A40" t="s">
        <v>7</v>
      </c>
      <c r="B40" s="19">
        <v>-160665</v>
      </c>
      <c r="D40" s="19">
        <v>0</v>
      </c>
      <c r="E40" s="19">
        <f>-E41*E42</f>
        <v>-255103.91666666672</v>
      </c>
      <c r="F40" s="19">
        <f t="shared" ref="F40:N40" si="12">-F41*F42</f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3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3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3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3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3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3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5">
      <c r="A48" t="s">
        <v>43</v>
      </c>
      <c r="B48" s="19">
        <v>-1000</v>
      </c>
      <c r="D48" s="19">
        <f>-PurchasePrice</f>
        <v>-7288683.333333334</v>
      </c>
      <c r="E48" s="38">
        <f>IF($F$6=E16,$F$8,0)</f>
        <v>0</v>
      </c>
      <c r="F48" s="38">
        <f t="shared" ref="F48:N48" si="16">IF($F$6=F16,$F$8,0)</f>
        <v>0</v>
      </c>
      <c r="G48" s="38">
        <f t="shared" si="16"/>
        <v>0</v>
      </c>
      <c r="H48" s="38">
        <f t="shared" si="16"/>
        <v>0</v>
      </c>
      <c r="I48" s="38">
        <f t="shared" si="16"/>
        <v>0</v>
      </c>
      <c r="J48" s="38">
        <f t="shared" si="16"/>
        <v>0</v>
      </c>
      <c r="K48" s="38">
        <f t="shared" si="16"/>
        <v>0</v>
      </c>
      <c r="L48" s="38">
        <f t="shared" si="16"/>
        <v>0</v>
      </c>
      <c r="M48" s="38">
        <f t="shared" si="16"/>
        <v>0</v>
      </c>
      <c r="N48" s="38">
        <f t="shared" si="16"/>
        <v>59099662.392178126</v>
      </c>
    </row>
    <row r="49" spans="1:14" x14ac:dyDescent="0.3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3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35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59099662.392178126</v>
      </c>
    </row>
    <row r="52" spans="1:14" x14ac:dyDescent="0.3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5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62054645.511784665</v>
      </c>
    </row>
    <row r="55" spans="1:14" x14ac:dyDescent="0.35">
      <c r="A55" s="58" t="s">
        <v>63</v>
      </c>
      <c r="B55" s="58"/>
      <c r="C55" s="58"/>
      <c r="D55" s="58"/>
    </row>
    <row r="56" spans="1:14" x14ac:dyDescent="0.35">
      <c r="A56" s="60" t="s">
        <v>60</v>
      </c>
      <c r="B56" s="60" t="s">
        <v>61</v>
      </c>
      <c r="C56" s="59"/>
      <c r="D56" s="59"/>
      <c r="H56" s="39"/>
    </row>
    <row r="57" spans="1:14" x14ac:dyDescent="0.35">
      <c r="B57" s="40">
        <f>N46</f>
        <v>2954983.1196065391</v>
      </c>
      <c r="C57" s="32"/>
      <c r="N57" s="9"/>
    </row>
    <row r="58" spans="1:14" x14ac:dyDescent="0.35">
      <c r="A58" s="57">
        <v>0</v>
      </c>
      <c r="B58" s="38">
        <f t="dataTable" ref="B58:B62" dt2D="0" dtr="0" r1="B10"/>
        <v>1833291.3160475681</v>
      </c>
    </row>
    <row r="59" spans="1:14" x14ac:dyDescent="0.35">
      <c r="A59" s="25">
        <f>A58+2.5%</f>
        <v>2.5000000000000001E-2</v>
      </c>
      <c r="B59" s="38">
        <v>2346387.864002387</v>
      </c>
    </row>
    <row r="60" spans="1:14" x14ac:dyDescent="0.35">
      <c r="A60" s="25">
        <f t="shared" ref="A60:A62" si="19">A59+2.5%</f>
        <v>0.05</v>
      </c>
      <c r="B60" s="38">
        <v>2954983.1196065391</v>
      </c>
    </row>
    <row r="61" spans="1:14" x14ac:dyDescent="0.35">
      <c r="A61" s="25">
        <f t="shared" si="19"/>
        <v>7.5000000000000011E-2</v>
      </c>
      <c r="B61" s="38">
        <v>3673925.173373519</v>
      </c>
    </row>
    <row r="62" spans="1:14" x14ac:dyDescent="0.35">
      <c r="A62" s="25">
        <f t="shared" si="19"/>
        <v>0.1</v>
      </c>
      <c r="B62" s="38">
        <v>4519938.2304462902</v>
      </c>
    </row>
    <row r="63" spans="1:14" x14ac:dyDescent="0.35">
      <c r="I63" s="32"/>
      <c r="J63" s="12"/>
    </row>
    <row r="64" spans="1:14" x14ac:dyDescent="0.35">
      <c r="A64" s="12"/>
      <c r="B64"/>
      <c r="I64" s="57"/>
      <c r="J64" s="12"/>
    </row>
    <row r="65" spans="1:10" x14ac:dyDescent="0.35">
      <c r="A65" s="12"/>
      <c r="B65"/>
      <c r="I65" s="25"/>
      <c r="J65" s="12"/>
    </row>
    <row r="66" spans="1:10" x14ac:dyDescent="0.35">
      <c r="A66" s="61" t="s">
        <v>62</v>
      </c>
      <c r="B66" s="61"/>
      <c r="C66" s="61"/>
      <c r="D66" s="61"/>
      <c r="E66" s="61"/>
      <c r="F66" s="61"/>
      <c r="I66" s="25"/>
      <c r="J66" s="12"/>
    </row>
    <row r="67" spans="1:10" x14ac:dyDescent="0.35">
      <c r="A67" s="12"/>
      <c r="B67"/>
      <c r="I67" s="25"/>
      <c r="J67" s="12"/>
    </row>
    <row r="68" spans="1:10" x14ac:dyDescent="0.35">
      <c r="A68" s="64" t="s">
        <v>60</v>
      </c>
      <c r="B68"/>
      <c r="C68" s="56" t="s">
        <v>2</v>
      </c>
      <c r="I68" s="25"/>
      <c r="J68" s="12"/>
    </row>
    <row r="69" spans="1:10" x14ac:dyDescent="0.35">
      <c r="A69" s="32">
        <f>N46</f>
        <v>2954983.1196065391</v>
      </c>
      <c r="B69" s="12">
        <v>2000</v>
      </c>
      <c r="C69">
        <f>B69+250</f>
        <v>2250</v>
      </c>
      <c r="D69">
        <f t="shared" ref="D69:F69" si="20">C69+250</f>
        <v>2500</v>
      </c>
      <c r="E69">
        <f t="shared" si="20"/>
        <v>2750</v>
      </c>
      <c r="F69">
        <f t="shared" si="20"/>
        <v>3000</v>
      </c>
    </row>
    <row r="70" spans="1:10" x14ac:dyDescent="0.35">
      <c r="A70" s="57">
        <v>0</v>
      </c>
      <c r="B70" s="63">
        <f t="dataTable" ref="B70:F74" dt2D="1" dtr="1" r1="F19" r2="B10" ca="1"/>
        <v>1526859.3160475681</v>
      </c>
      <c r="C70" s="26">
        <v>1782219.3160475681</v>
      </c>
      <c r="D70" s="26">
        <v>2037579.3160475681</v>
      </c>
      <c r="E70" s="26">
        <v>2292939.3160475679</v>
      </c>
      <c r="F70" s="26">
        <v>2548299.3160475679</v>
      </c>
    </row>
    <row r="71" spans="1:10" x14ac:dyDescent="0.35">
      <c r="A71" s="25">
        <f>A70+2.5%</f>
        <v>2.5000000000000001E-2</v>
      </c>
      <c r="B71" s="63">
        <v>1973030.2273126282</v>
      </c>
      <c r="C71" s="26">
        <v>2284161.5912207607</v>
      </c>
      <c r="D71" s="26">
        <v>2595292.9551288923</v>
      </c>
      <c r="E71" s="26">
        <v>2906424.3190370249</v>
      </c>
      <c r="F71" s="26">
        <v>3217555.6829451579</v>
      </c>
    </row>
    <row r="72" spans="1:10" x14ac:dyDescent="0.35">
      <c r="A72" s="25">
        <f t="shared" ref="A72:A73" si="21">A71+2.5%</f>
        <v>0.05</v>
      </c>
      <c r="B72" s="63">
        <v>2502243.4930553688</v>
      </c>
      <c r="C72" s="26">
        <v>2879526.5151813435</v>
      </c>
      <c r="D72" s="26">
        <v>3256809.5373073178</v>
      </c>
      <c r="E72" s="26">
        <v>3634092.5594332935</v>
      </c>
      <c r="F72" s="26">
        <v>4011375.5815592697</v>
      </c>
    </row>
    <row r="73" spans="1:10" x14ac:dyDescent="0.35">
      <c r="A73" s="25">
        <f t="shared" si="21"/>
        <v>7.5000000000000011E-2</v>
      </c>
      <c r="B73" s="63">
        <v>3127410.496331004</v>
      </c>
      <c r="C73" s="26">
        <v>3582839.3938664328</v>
      </c>
      <c r="D73" s="26">
        <v>4038268.2914018631</v>
      </c>
      <c r="E73" s="26">
        <v>4493697.1889372915</v>
      </c>
      <c r="F73" s="26">
        <v>4949126.0864727218</v>
      </c>
    </row>
    <row r="74" spans="1:10" x14ac:dyDescent="0.35">
      <c r="A74" s="25">
        <f>A73+2.5%</f>
        <v>0.1</v>
      </c>
      <c r="B74" s="63">
        <v>3863074.0242203693</v>
      </c>
      <c r="C74" s="26">
        <v>4410460.8627419705</v>
      </c>
      <c r="D74" s="26">
        <v>4957847.7012635712</v>
      </c>
      <c r="E74" s="26">
        <v>5505234.5397851737</v>
      </c>
      <c r="F74" s="26">
        <v>6052621.3783067716</v>
      </c>
    </row>
    <row r="75" spans="1:10" x14ac:dyDescent="0.35">
      <c r="A75" s="62"/>
    </row>
    <row r="76" spans="1:10" x14ac:dyDescent="0.35">
      <c r="A76" s="32"/>
    </row>
  </sheetData>
  <scenarios current="0" show="0" sqref="N46">
    <scenario name="Expected_Rent" locked="1" count="2" user="Mr.Top" comment="Created by Mr.Top on 10/3/2026_x000a_Modified by Mr.Top on 10/3/2026">
      <inputCells r="B10" val="0.05" numFmtId="10"/>
      <inputCells r="F19" val="2300" numFmtId="165"/>
    </scenario>
    <scenario name="High_Rent" locked="1" count="2" user="Mr.Top" comment="Created by Mr.Top on 10/3/2026">
      <inputCells r="B10" val="0.08" numFmtId="10"/>
      <inputCells r="F19" val="2500" numFmtId="165"/>
    </scenario>
  </scenarios>
  <mergeCells count="2">
    <mergeCell ref="A55:D55"/>
    <mergeCell ref="A66:F66"/>
  </mergeCells>
  <conditionalFormatting sqref="B70:F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57:B6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{B13D0D71-FA9E-4E09-AF3A-2480CFCCC20E}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D0D71-FA9E-4E09-AF3A-2480CFCCC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A57:B62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Scenario Summary</vt:lpstr>
      <vt:lpstr>Analysis</vt:lpstr>
      <vt:lpstr>AcquisitionCapRate</vt:lpstr>
      <vt:lpstr>CostGrowth</vt:lpstr>
      <vt:lpstr>PurchasePrice</vt:lpstr>
      <vt:lpstr>RentGrowth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oyekanmi mercy</cp:lastModifiedBy>
  <dcterms:created xsi:type="dcterms:W3CDTF">2023-09-18T02:06:14Z</dcterms:created>
  <dcterms:modified xsi:type="dcterms:W3CDTF">2026-10-03T19:26:22Z</dcterms:modified>
</cp:coreProperties>
</file>